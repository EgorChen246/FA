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4"/>
  <workbookPr codeName="ЭтаКнига"/>
  <mc:AlternateContent xmlns:mc="http://schemas.openxmlformats.org/markup-compatibility/2006">
    <mc:Choice Requires="x15">
      <x15ac:absPath xmlns:x15ac="http://schemas.microsoft.com/office/spreadsheetml/2010/11/ac" url="O:\Факультет ИТиАБД\ИД24-3\Ченцов Егор Андреевич - 245136\МатСтат\___\"/>
    </mc:Choice>
  </mc:AlternateContent>
  <xr:revisionPtr revIDLastSave="0" documentId="8_{D3E9A5CF-A470-442B-8ACA-15EC3F5DF462}" xr6:coauthVersionLast="36" xr6:coauthVersionMax="36" xr10:uidLastSave="{00000000-0000-0000-0000-000000000000}"/>
  <bookViews>
    <workbookView xWindow="0" yWindow="0" windowWidth="22260" windowHeight="12645" activeTab="1" xr2:uid="{00000000-000D-0000-FFFF-FFFF00000000}"/>
  </bookViews>
  <sheets>
    <sheet name="Лист1" sheetId="19" r:id="rId1"/>
    <sheet name="Лист1 (2)" sheetId="20" r:id="rId2"/>
  </sheets>
  <definedNames>
    <definedName name="qwerty" localSheetId="1">#REF!</definedName>
    <definedName name="qwerty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1" i="20" l="1"/>
  <c r="B9" i="20"/>
  <c r="D11" i="20"/>
  <c r="B8" i="20"/>
  <c r="D11" i="19"/>
  <c r="B11" i="19"/>
  <c r="B9" i="19"/>
  <c r="B8" i="19"/>
  <c r="C9" i="20"/>
  <c r="C8" i="20"/>
</calcChain>
</file>

<file path=xl/sharedStrings.xml><?xml version="1.0" encoding="utf-8"?>
<sst xmlns="http://schemas.openxmlformats.org/spreadsheetml/2006/main" count="25" uniqueCount="18">
  <si>
    <t>talpha/2(n-1)</t>
  </si>
  <si>
    <t>n</t>
  </si>
  <si>
    <t>Xсред</t>
  </si>
  <si>
    <t>s</t>
  </si>
  <si>
    <t>alpha</t>
  </si>
  <si>
    <t>H0: E(X)=</t>
  </si>
  <si>
    <t>H1: E(X)&lt;&gt;</t>
  </si>
  <si>
    <t>t</t>
  </si>
  <si>
    <t>Поскольку мы попали в один из "хвостов", т.е. в критическую область - принимается гипотеза H1</t>
  </si>
  <si>
    <t>P-value</t>
  </si>
  <si>
    <t>&lt;</t>
  </si>
  <si>
    <t>, значит принимаем гипотезу (т.е. попали в хвост) H1</t>
  </si>
  <si>
    <t>H1: E(X)&gt;</t>
  </si>
  <si>
    <t>talpha(n-1)</t>
  </si>
  <si>
    <t>КРИТИЧЕСКОЕ!!!</t>
  </si>
  <si>
    <t>Поскольку мы не попали в "хвост", т.е. в критическую область - принимается гипотеза H0</t>
  </si>
  <si>
    <t>&gt;</t>
  </si>
  <si>
    <t>, значит принимаем гипотезу (т.е. не попали в хвост) H0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</si>
</sst>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10027</xdr:colOff>
      <xdr:row>0</xdr:row>
      <xdr:rowOff>0</xdr:rowOff>
    </xdr:from>
    <xdr:to>
      <xdr:col>14</xdr:col>
      <xdr:colOff>559197</xdr:colOff>
      <xdr:row>9</xdr:row>
      <xdr:rowOff>172766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575823FD-0EA0-47AE-9DF6-B38DA07ADA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03672" y="0"/>
          <a:ext cx="6053618" cy="1887266"/>
        </a:xfrm>
        <a:prstGeom prst="rect">
          <a:avLst/>
        </a:prstGeom>
      </xdr:spPr>
    </xdr:pic>
    <xdr:clientData/>
  </xdr:twoCellAnchor>
  <xdr:twoCellAnchor editAs="oneCell">
    <xdr:from>
      <xdr:col>9</xdr:col>
      <xdr:colOff>404262</xdr:colOff>
      <xdr:row>6</xdr:row>
      <xdr:rowOff>5013</xdr:rowOff>
    </xdr:from>
    <xdr:to>
      <xdr:col>15</xdr:col>
      <xdr:colOff>222365</xdr:colOff>
      <xdr:row>16</xdr:row>
      <xdr:rowOff>173218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6D7C188D-F2B4-48D4-BD59-BC521C4A84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359894" y="1148013"/>
          <a:ext cx="3487735" cy="207320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384210</xdr:colOff>
      <xdr:row>7</xdr:row>
      <xdr:rowOff>20051</xdr:rowOff>
    </xdr:from>
    <xdr:to>
      <xdr:col>15</xdr:col>
      <xdr:colOff>202314</xdr:colOff>
      <xdr:row>17</xdr:row>
      <xdr:rowOff>188256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BB9BDD85-BEC3-4C31-ABF2-BF91A034B7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39842" y="1353551"/>
          <a:ext cx="3487735" cy="2073205"/>
        </a:xfrm>
        <a:prstGeom prst="rect">
          <a:avLst/>
        </a:prstGeom>
      </xdr:spPr>
    </xdr:pic>
    <xdr:clientData/>
  </xdr:twoCellAnchor>
  <xdr:twoCellAnchor editAs="oneCell">
    <xdr:from>
      <xdr:col>4</xdr:col>
      <xdr:colOff>591553</xdr:colOff>
      <xdr:row>0</xdr:row>
      <xdr:rowOff>0</xdr:rowOff>
    </xdr:from>
    <xdr:to>
      <xdr:col>13</xdr:col>
      <xdr:colOff>252867</xdr:colOff>
      <xdr:row>8</xdr:row>
      <xdr:rowOff>91723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2F293F9A-783D-4724-A70B-2E48941A3F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489158" y="0"/>
          <a:ext cx="5165762" cy="161572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F4F4F-AA00-4D63-97F1-83DDD73626D6}">
  <dimension ref="A1:E11"/>
  <sheetViews>
    <sheetView zoomScale="190" zoomScaleNormal="190" workbookViewId="0">
      <selection activeCell="A12" sqref="A12"/>
    </sheetView>
  </sheetViews>
  <sheetFormatPr defaultRowHeight="15" x14ac:dyDescent="0.25"/>
  <cols>
    <col min="1" max="1" width="12.7109375" bestFit="1" customWidth="1"/>
    <col min="2" max="2" width="18.42578125" bestFit="1" customWidth="1"/>
  </cols>
  <sheetData>
    <row r="1" spans="1:5" x14ac:dyDescent="0.25">
      <c r="A1" t="s">
        <v>1</v>
      </c>
      <c r="B1">
        <v>140</v>
      </c>
    </row>
    <row r="2" spans="1:5" x14ac:dyDescent="0.25">
      <c r="A2" t="s">
        <v>2</v>
      </c>
      <c r="B2">
        <v>-24.6</v>
      </c>
    </row>
    <row r="3" spans="1:5" x14ac:dyDescent="0.25">
      <c r="A3" t="s">
        <v>3</v>
      </c>
      <c r="B3">
        <v>3</v>
      </c>
    </row>
    <row r="4" spans="1:5" x14ac:dyDescent="0.25">
      <c r="A4" t="s">
        <v>4</v>
      </c>
      <c r="B4">
        <v>0.03</v>
      </c>
    </row>
    <row r="5" spans="1:5" x14ac:dyDescent="0.25">
      <c r="A5" t="s">
        <v>5</v>
      </c>
      <c r="B5">
        <v>-23.5</v>
      </c>
    </row>
    <row r="6" spans="1:5" x14ac:dyDescent="0.25">
      <c r="A6" t="s">
        <v>6</v>
      </c>
      <c r="B6">
        <v>-23.5</v>
      </c>
    </row>
    <row r="8" spans="1:5" x14ac:dyDescent="0.25">
      <c r="A8" t="s">
        <v>7</v>
      </c>
      <c r="B8">
        <f>+(B2-B5)/(B3/SQRT(B1))</f>
        <v>-4.3384585076063908</v>
      </c>
    </row>
    <row r="9" spans="1:5" x14ac:dyDescent="0.25">
      <c r="A9" t="s">
        <v>0</v>
      </c>
      <c r="B9">
        <f>+_xlfn.T.INV(1-B4/2,B1-1)</f>
        <v>2.192597068353122</v>
      </c>
    </row>
    <row r="10" spans="1:5" x14ac:dyDescent="0.25">
      <c r="A10" t="s">
        <v>8</v>
      </c>
    </row>
    <row r="11" spans="1:5" x14ac:dyDescent="0.25">
      <c r="A11" t="s">
        <v>9</v>
      </c>
      <c r="B11" s="1">
        <f>+_xlfn.T.DIST(B8,B1-1,TRUE)*2</f>
        <v>2.7407823817838922E-5</v>
      </c>
      <c r="C11" t="s">
        <v>10</v>
      </c>
      <c r="D11">
        <f>+B4</f>
        <v>0.03</v>
      </c>
      <c r="E11" t="s">
        <v>11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3886FC-A424-47DE-87FB-A76E12EE7DDE}">
  <dimension ref="A1:F11"/>
  <sheetViews>
    <sheetView tabSelected="1" zoomScale="190" zoomScaleNormal="190" workbookViewId="0">
      <selection activeCell="C9" sqref="C9"/>
    </sheetView>
  </sheetViews>
  <sheetFormatPr defaultRowHeight="15" x14ac:dyDescent="0.25"/>
  <cols>
    <col min="1" max="1" width="12.7109375" bestFit="1" customWidth="1"/>
    <col min="2" max="2" width="12.42578125" bestFit="1" customWidth="1"/>
  </cols>
  <sheetData>
    <row r="1" spans="1:6" x14ac:dyDescent="0.25">
      <c r="A1" t="s">
        <v>1</v>
      </c>
      <c r="B1">
        <v>103</v>
      </c>
    </row>
    <row r="2" spans="1:6" x14ac:dyDescent="0.25">
      <c r="A2" t="s">
        <v>2</v>
      </c>
      <c r="B2">
        <v>31.1</v>
      </c>
    </row>
    <row r="3" spans="1:6" x14ac:dyDescent="0.25">
      <c r="A3" t="s">
        <v>3</v>
      </c>
      <c r="B3">
        <v>2.6</v>
      </c>
    </row>
    <row r="4" spans="1:6" x14ac:dyDescent="0.25">
      <c r="A4" t="s">
        <v>4</v>
      </c>
      <c r="B4">
        <v>0.1</v>
      </c>
    </row>
    <row r="5" spans="1:6" x14ac:dyDescent="0.25">
      <c r="A5" t="s">
        <v>5</v>
      </c>
      <c r="B5">
        <v>30.8</v>
      </c>
    </row>
    <row r="6" spans="1:6" x14ac:dyDescent="0.25">
      <c r="A6" t="s">
        <v>12</v>
      </c>
      <c r="B6">
        <v>30.8</v>
      </c>
    </row>
    <row r="8" spans="1:6" x14ac:dyDescent="0.25">
      <c r="A8" t="s">
        <v>7</v>
      </c>
      <c r="B8">
        <f>+(B2-B5)/(B3/SQRT(B1))</f>
        <v>1.1710259498183357</v>
      </c>
      <c r="C8" t="str">
        <f ca="1">+_xlfn.FORMULATEXT(B8)</f>
        <v>=+(B2-B5)/(B3/КОРЕНЬ(B1))</v>
      </c>
    </row>
    <row r="9" spans="1:6" x14ac:dyDescent="0.25">
      <c r="A9" t="s">
        <v>13</v>
      </c>
      <c r="B9">
        <f>+_xlfn.T.INV(1-B4,B1-1)</f>
        <v>1.2899065325427479</v>
      </c>
      <c r="C9" t="str">
        <f ca="1">+_xlfn.FORMULATEXT(B9)</f>
        <v>=+СТЬЮДЕНТ.ОБР(1-B4;B1-1)</v>
      </c>
      <c r="F9" t="s">
        <v>14</v>
      </c>
    </row>
    <row r="10" spans="1:6" x14ac:dyDescent="0.25">
      <c r="A10" t="s">
        <v>15</v>
      </c>
    </row>
    <row r="11" spans="1:6" x14ac:dyDescent="0.25">
      <c r="A11" t="s">
        <v>9</v>
      </c>
      <c r="B11">
        <f>1-_xlfn.T.DIST(B8,B1-1,TRUE)</f>
        <v>0.12215838836601689</v>
      </c>
      <c r="C11" t="s">
        <v>16</v>
      </c>
      <c r="D11">
        <f>+B4</f>
        <v>0.1</v>
      </c>
      <c r="E11" t="s">
        <v>17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Булычев Александр Викторович</dc:creator>
  <cp:lastModifiedBy>Ченцов Егор Андреевич</cp:lastModifiedBy>
  <dcterms:created xsi:type="dcterms:W3CDTF">2015-06-05T18:17:20Z</dcterms:created>
  <dcterms:modified xsi:type="dcterms:W3CDTF">2025-11-19T14:05:01Z</dcterms:modified>
</cp:coreProperties>
</file>