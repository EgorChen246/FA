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"/>
    </mc:Choice>
  </mc:AlternateContent>
  <xr:revisionPtr revIDLastSave="0" documentId="13_ncr:1_{40A4AB5C-A1DF-4158-91F0-50BD8D9FC31D}" xr6:coauthVersionLast="36" xr6:coauthVersionMax="47" xr10:uidLastSave="{00000000-0000-0000-0000-000000000000}"/>
  <bookViews>
    <workbookView xWindow="-105" yWindow="-105" windowWidth="23250" windowHeight="12570" xr2:uid="{BE47A9B9-56A2-483A-B71D-D83E80D73C7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2" i="1"/>
  <c r="E10" i="1"/>
  <c r="E9" i="1"/>
  <c r="E11" i="1"/>
  <c r="B13" i="1"/>
  <c r="B12" i="1"/>
  <c r="B11" i="1"/>
  <c r="B10" i="1"/>
  <c r="B9" i="1"/>
  <c r="B16" i="1" l="1"/>
  <c r="E15" i="1"/>
  <c r="B15" i="1"/>
  <c r="E16" i="1"/>
  <c r="B19" i="1" s="1"/>
  <c r="H15" i="1"/>
  <c r="B18" i="1" l="1"/>
  <c r="E18" i="1"/>
  <c r="E19" i="1" l="1"/>
</calcChain>
</file>

<file path=xl/sharedStrings.xml><?xml version="1.0" encoding="utf-8"?>
<sst xmlns="http://schemas.openxmlformats.org/spreadsheetml/2006/main" count="26" uniqueCount="26">
  <si>
    <t>n1</t>
  </si>
  <si>
    <t>x(-)1</t>
  </si>
  <si>
    <t>y(-)1</t>
  </si>
  <si>
    <t>s(~)x1^2</t>
  </si>
  <si>
    <t>s(~)y1^2</t>
  </si>
  <si>
    <t>cov(x(1),y(1))</t>
  </si>
  <si>
    <t>n2</t>
  </si>
  <si>
    <t>Ex1j</t>
  </si>
  <si>
    <t>Exy1j</t>
  </si>
  <si>
    <t>Ex21j</t>
  </si>
  <si>
    <t>Ey21j</t>
  </si>
  <si>
    <t>Ex1jy1j</t>
  </si>
  <si>
    <t>Ex2j</t>
  </si>
  <si>
    <t>Ey2j</t>
  </si>
  <si>
    <t>Ex22j</t>
  </si>
  <si>
    <t>Ey22j</t>
  </si>
  <si>
    <t>Ex2jy2j</t>
  </si>
  <si>
    <t>&lt;x(~)i&gt;</t>
  </si>
  <si>
    <t>&lt;y(~)i&gt;</t>
  </si>
  <si>
    <t>&lt;x2&gt;</t>
  </si>
  <si>
    <t>&lt;y2&gt;</t>
  </si>
  <si>
    <t>&lt;xy&gt;</t>
  </si>
  <si>
    <t>S(~)2x</t>
  </si>
  <si>
    <t>S(~)2y</t>
  </si>
  <si>
    <t>cov(x(-), y(-))</t>
  </si>
  <si>
    <t>r(~)xy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</si>
</sst>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14</xdr:col>
      <xdr:colOff>315560</xdr:colOff>
      <xdr:row>27</xdr:row>
      <xdr:rowOff>171633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4A2358-51CE-4D59-9A06-B70C5C9D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0"/>
          <a:ext cx="8849960" cy="1314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AD30-4BF0-47A6-8FC5-5BC842AB09C3}">
  <dimension ref="A1:H19"/>
  <sheetViews>
    <sheetView tabSelected="1" workbookViewId="0">
      <selection activeCell="G32" sqref="G32"/>
    </sheetView>
  </sheetViews>
  <sheetFormatPr defaultRowHeight="15" x14ac:dyDescent="0.25"/>
  <sheetData>
    <row r="1" spans="1:8" x14ac:dyDescent="0.25">
      <c r="A1" t="s">
        <v>0</v>
      </c>
      <c r="B1" s="2">
        <v>13</v>
      </c>
      <c r="D1" t="s">
        <v>6</v>
      </c>
      <c r="E1" s="2">
        <v>5</v>
      </c>
    </row>
    <row r="2" spans="1:8" x14ac:dyDescent="0.25">
      <c r="A2" t="s">
        <v>1</v>
      </c>
      <c r="B2" s="2">
        <v>-5.0999999999999996</v>
      </c>
    </row>
    <row r="3" spans="1:8" x14ac:dyDescent="0.25">
      <c r="A3" t="s">
        <v>2</v>
      </c>
      <c r="B3" s="2">
        <v>6.1</v>
      </c>
      <c r="D3" s="2">
        <v>-5.0999999999999996</v>
      </c>
      <c r="E3" s="2">
        <v>-8.1</v>
      </c>
      <c r="F3" s="2">
        <v>-8.1</v>
      </c>
      <c r="G3" s="2">
        <v>0.9</v>
      </c>
      <c r="H3" s="2">
        <v>3.9</v>
      </c>
    </row>
    <row r="4" spans="1:8" x14ac:dyDescent="0.25">
      <c r="A4" t="s">
        <v>3</v>
      </c>
      <c r="B4" s="2">
        <v>20.25</v>
      </c>
      <c r="D4" s="2">
        <v>0.9</v>
      </c>
      <c r="E4" s="2">
        <v>12.9</v>
      </c>
      <c r="F4" s="2">
        <v>5.9</v>
      </c>
      <c r="G4" s="2">
        <v>0.9</v>
      </c>
      <c r="H4" s="2">
        <v>12.1</v>
      </c>
    </row>
    <row r="5" spans="1:8" x14ac:dyDescent="0.25">
      <c r="A5" t="s">
        <v>4</v>
      </c>
      <c r="B5" s="2">
        <v>9.61</v>
      </c>
    </row>
    <row r="6" spans="1:8" x14ac:dyDescent="0.25">
      <c r="A6" t="s">
        <v>5</v>
      </c>
      <c r="B6" s="2">
        <v>-12.555</v>
      </c>
    </row>
    <row r="9" spans="1:8" x14ac:dyDescent="0.25">
      <c r="A9" t="s">
        <v>7</v>
      </c>
      <c r="B9">
        <f>B1*B2</f>
        <v>-66.3</v>
      </c>
      <c r="D9" t="s">
        <v>12</v>
      </c>
      <c r="E9" s="3">
        <f>SUM(D3:H3)</f>
        <v>-16.5</v>
      </c>
    </row>
    <row r="10" spans="1:8" x14ac:dyDescent="0.25">
      <c r="A10" t="s">
        <v>8</v>
      </c>
      <c r="B10">
        <f>B1*B3</f>
        <v>79.3</v>
      </c>
      <c r="D10" t="s">
        <v>13</v>
      </c>
      <c r="E10" s="3">
        <f>SUM(D4:H4)</f>
        <v>32.700000000000003</v>
      </c>
    </row>
    <row r="11" spans="1:8" x14ac:dyDescent="0.25">
      <c r="A11" t="s">
        <v>9</v>
      </c>
      <c r="B11">
        <f>B1*(B4+B2^2)</f>
        <v>601.38</v>
      </c>
      <c r="D11" t="s">
        <v>14</v>
      </c>
      <c r="E11" s="3">
        <f>SUMPRODUCT(D3:H3,D3:H3)</f>
        <v>173.25000000000003</v>
      </c>
    </row>
    <row r="12" spans="1:8" x14ac:dyDescent="0.25">
      <c r="A12" t="s">
        <v>10</v>
      </c>
      <c r="B12">
        <f>B1*(B5+B3^2)</f>
        <v>608.65999999999985</v>
      </c>
      <c r="D12" t="s">
        <v>15</v>
      </c>
      <c r="E12" s="3">
        <f>SUMPRODUCT(D4:H4,D4:H4)</f>
        <v>349.25</v>
      </c>
    </row>
    <row r="13" spans="1:8" x14ac:dyDescent="0.25">
      <c r="A13" t="s">
        <v>11</v>
      </c>
      <c r="B13">
        <f>B1*(B6+B2*B3)</f>
        <v>-567.64499999999987</v>
      </c>
      <c r="D13" t="s">
        <v>16</v>
      </c>
      <c r="E13" s="3">
        <f>SUMPRODUCT(D3:H3,D4:H4)</f>
        <v>-108.87</v>
      </c>
    </row>
    <row r="15" spans="1:8" x14ac:dyDescent="0.25">
      <c r="A15" t="s">
        <v>17</v>
      </c>
      <c r="B15" s="1">
        <f>(B9 + E9) / (B1+E1)</f>
        <v>-4.5999999999999996</v>
      </c>
      <c r="D15" t="s">
        <v>19</v>
      </c>
      <c r="E15">
        <f>(B11+E11) / (B1+E1)</f>
        <v>43.034999999999997</v>
      </c>
      <c r="G15" t="s">
        <v>21</v>
      </c>
      <c r="H15">
        <f>(B13+E13) / (B1+E1)</f>
        <v>-37.584166666666661</v>
      </c>
    </row>
    <row r="16" spans="1:8" x14ac:dyDescent="0.25">
      <c r="A16" t="s">
        <v>18</v>
      </c>
      <c r="B16" s="1">
        <f>(B10+E10) / (B1+E1)</f>
        <v>6.2222222222222223</v>
      </c>
      <c r="D16" t="s">
        <v>20</v>
      </c>
      <c r="E16">
        <f>(B12+E12) / (B1+E1)</f>
        <v>53.217222222222212</v>
      </c>
    </row>
    <row r="18" spans="1:5" x14ac:dyDescent="0.25">
      <c r="A18" t="s">
        <v>22</v>
      </c>
      <c r="B18" s="1">
        <f>E15-B15*B15</f>
        <v>21.875</v>
      </c>
      <c r="D18" t="s">
        <v>24</v>
      </c>
      <c r="E18" s="1">
        <f>H15-B15*B16</f>
        <v>-8.9619444444444412</v>
      </c>
    </row>
    <row r="19" spans="1:5" x14ac:dyDescent="0.25">
      <c r="A19" t="s">
        <v>23</v>
      </c>
      <c r="B19" s="1">
        <f>E16-B16*B16</f>
        <v>14.501172839506161</v>
      </c>
      <c r="D19" t="s">
        <v>25</v>
      </c>
      <c r="E19" s="1">
        <f>E18/(B18^0.5*B19^0.5)</f>
        <v>-0.50318380174265598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Vovchisk</dc:creator>
  <cp:lastModifiedBy>Ченцов Егор Андреевич</cp:lastModifiedBy>
  <dcterms:created xsi:type="dcterms:W3CDTF">2025-10-13T15:54:43Z</dcterms:created>
  <dcterms:modified xsi:type="dcterms:W3CDTF">2025-10-14T10:19:39Z</dcterms:modified>
</cp:coreProperties>
</file>