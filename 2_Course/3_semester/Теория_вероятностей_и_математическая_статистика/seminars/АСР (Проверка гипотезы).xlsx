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МатСтат\"/>
    </mc:Choice>
  </mc:AlternateContent>
  <xr:revisionPtr revIDLastSave="0" documentId="13_ncr:1_{B03BD314-C582-4FEF-877F-FE978BDA4DAB}" xr6:coauthVersionLast="36" xr6:coauthVersionMax="36" xr10:uidLastSave="{00000000-0000-0000-0000-000000000000}"/>
  <bookViews>
    <workbookView xWindow="0" yWindow="0" windowWidth="28800" windowHeight="12225" activeTab="1" xr2:uid="{786C2205-B4BD-4A79-8BB8-370FB9514295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B9" i="2"/>
  <c r="B8" i="2"/>
  <c r="B7" i="2"/>
  <c r="B13" i="2" s="1"/>
  <c r="D11" i="1"/>
  <c r="B11" i="1"/>
  <c r="B9" i="1"/>
  <c r="B8" i="1"/>
</calcChain>
</file>

<file path=xl/sharedStrings.xml><?xml version="1.0" encoding="utf-8"?>
<sst xmlns="http://schemas.openxmlformats.org/spreadsheetml/2006/main" count="22" uniqueCount="18">
  <si>
    <t>n</t>
  </si>
  <si>
    <t>Xсред</t>
  </si>
  <si>
    <t>s</t>
  </si>
  <si>
    <t>alpha</t>
  </si>
  <si>
    <t>H0: E(X)=</t>
  </si>
  <si>
    <t>H1: E(X)&lt;</t>
  </si>
  <si>
    <t>t</t>
  </si>
  <si>
    <t>talpha(n-1)</t>
  </si>
  <si>
    <t>P-value</t>
  </si>
  <si>
    <t>&gt;</t>
  </si>
  <si>
    <t>s^2</t>
  </si>
  <si>
    <t>H0: sigma^2=</t>
  </si>
  <si>
    <t>H1: sigma^2 &gt;</t>
  </si>
  <si>
    <t>ХИ2</t>
  </si>
  <si>
    <t>ХИ2(1-alpha/2,n-1)</t>
  </si>
  <si>
    <t>ХИ2(alpha/2,n-1)</t>
  </si>
  <si>
    <t>Поскольку мы не попали в "хвост", 139,2956&lt;139,6841 т.е. в критическую область - принимается гипотеза H0</t>
  </si>
  <si>
    <t>НЕПРАВИЛЬНО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</si>
</sst>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590550</xdr:colOff>
      <xdr:row>0</xdr:row>
      <xdr:rowOff>0</xdr:rowOff>
    </xdr:from>
    <xdr:to>
      <xdr:col>10</xdr:col>
      <xdr:colOff>267165</xdr:colOff>
      <xdr:row>11</xdr:row>
      <xdr:rowOff>114608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C9D3D436-7AC1-4EB1-82D5-B398AAD06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0" y="0"/>
          <a:ext cx="3334215" cy="22101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323850</xdr:colOff>
      <xdr:row>0</xdr:row>
      <xdr:rowOff>38100</xdr:rowOff>
    </xdr:from>
    <xdr:to>
      <xdr:col>8</xdr:col>
      <xdr:colOff>9525</xdr:colOff>
      <xdr:row>8</xdr:row>
      <xdr:rowOff>82727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7E5F648-2EAF-46C9-8115-D6267E5DA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33700" y="38100"/>
          <a:ext cx="2733675" cy="15686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66C9-F9EC-414D-ABCF-B7EE0CE1B994}">
  <dimension ref="A1:D14"/>
  <sheetViews>
    <sheetView workbookViewId="0">
      <selection activeCell="E14" sqref="E14"/>
    </sheetView>
  </sheetViews>
  <sheetFormatPr defaultRowHeight="15" x14ac:dyDescent="0.25"/>
  <cols>
    <col min="1" max="1" width="10.85546875" bestFit="1" customWidth="1"/>
  </cols>
  <sheetData>
    <row r="1" spans="1:4" x14ac:dyDescent="0.25">
      <c r="A1" t="s">
        <v>0</v>
      </c>
      <c r="B1">
        <v>132</v>
      </c>
    </row>
    <row r="2" spans="1:4" x14ac:dyDescent="0.25">
      <c r="A2" t="s">
        <v>1</v>
      </c>
      <c r="B2">
        <v>-20.2</v>
      </c>
    </row>
    <row r="3" spans="1:4" x14ac:dyDescent="0.25">
      <c r="A3" t="s">
        <v>2</v>
      </c>
      <c r="B3">
        <v>1</v>
      </c>
    </row>
    <row r="4" spans="1:4" x14ac:dyDescent="0.25">
      <c r="A4" t="s">
        <v>3</v>
      </c>
      <c r="B4">
        <v>0.06</v>
      </c>
    </row>
    <row r="5" spans="1:4" x14ac:dyDescent="0.25">
      <c r="A5" t="s">
        <v>4</v>
      </c>
      <c r="B5">
        <v>-19.899999999999999</v>
      </c>
    </row>
    <row r="6" spans="1:4" x14ac:dyDescent="0.25">
      <c r="A6" t="s">
        <v>5</v>
      </c>
      <c r="B6">
        <v>-19.899999999999999</v>
      </c>
    </row>
    <row r="8" spans="1:4" x14ac:dyDescent="0.25">
      <c r="A8" t="s">
        <v>6</v>
      </c>
      <c r="B8">
        <f>+(B2-B5)/(B3/SQRT(B1))</f>
        <v>-3.4467375879228253</v>
      </c>
    </row>
    <row r="9" spans="1:4" x14ac:dyDescent="0.25">
      <c r="A9" t="s">
        <v>7</v>
      </c>
      <c r="B9">
        <f>+_xlfn.T.INV(1-B4,B1-1)</f>
        <v>1.5649804437917798</v>
      </c>
    </row>
    <row r="11" spans="1:4" x14ac:dyDescent="0.25">
      <c r="A11" t="s">
        <v>8</v>
      </c>
      <c r="B11">
        <f>1-_xlfn.T.DIST(B8,B1-1,TRUE)</f>
        <v>0.99961843191466881</v>
      </c>
      <c r="C11" s="1" t="s">
        <v>9</v>
      </c>
      <c r="D11">
        <f>+B4</f>
        <v>0.06</v>
      </c>
    </row>
    <row r="14" spans="1:4" x14ac:dyDescent="0.25">
      <c r="B14" s="2" t="s">
        <v>17</v>
      </c>
      <c r="C14" s="2"/>
    </row>
  </sheetData>
  <mergeCells count="1">
    <mergeCell ref="B14:C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B03D-C69A-4CE1-9449-128B1F5B7204}">
  <dimension ref="A1:D13"/>
  <sheetViews>
    <sheetView tabSelected="1" workbookViewId="0">
      <selection activeCell="F20" sqref="F20"/>
    </sheetView>
  </sheetViews>
  <sheetFormatPr defaultRowHeight="15" x14ac:dyDescent="0.25"/>
  <cols>
    <col min="1" max="1" width="18" customWidth="1"/>
    <col min="2" max="2" width="12" bestFit="1" customWidth="1"/>
  </cols>
  <sheetData>
    <row r="1" spans="1:4" x14ac:dyDescent="0.25">
      <c r="A1" t="s">
        <v>0</v>
      </c>
      <c r="B1">
        <v>122</v>
      </c>
    </row>
    <row r="2" spans="1:4" x14ac:dyDescent="0.25">
      <c r="A2" t="s">
        <v>10</v>
      </c>
      <c r="B2">
        <v>7.8</v>
      </c>
    </row>
    <row r="3" spans="1:4" x14ac:dyDescent="0.25">
      <c r="A3" t="s">
        <v>3</v>
      </c>
      <c r="B3">
        <v>0.06</v>
      </c>
    </row>
    <row r="4" spans="1:4" x14ac:dyDescent="0.25">
      <c r="A4" t="s">
        <v>11</v>
      </c>
      <c r="B4">
        <v>3.4</v>
      </c>
    </row>
    <row r="5" spans="1:4" x14ac:dyDescent="0.25">
      <c r="A5" t="s">
        <v>12</v>
      </c>
      <c r="B5">
        <v>3.4</v>
      </c>
    </row>
    <row r="7" spans="1:4" x14ac:dyDescent="0.25">
      <c r="A7" t="s">
        <v>13</v>
      </c>
      <c r="B7">
        <f>+(B1-1)*B2/B4</f>
        <v>277.58823529411762</v>
      </c>
    </row>
    <row r="8" spans="1:4" x14ac:dyDescent="0.25">
      <c r="A8" t="s">
        <v>14</v>
      </c>
      <c r="B8">
        <f>+_xlfn.CHISQ.INV(B3/2,B1-1)</f>
        <v>93.477800360851859</v>
      </c>
    </row>
    <row r="9" spans="1:4" x14ac:dyDescent="0.25">
      <c r="A9" t="s">
        <v>15</v>
      </c>
      <c r="B9">
        <f>+_xlfn.CHISQ.INV(1-B3/2,B1-1)</f>
        <v>151.90157671415048</v>
      </c>
    </row>
    <row r="11" spans="1:4" x14ac:dyDescent="0.25">
      <c r="A11" t="s">
        <v>16</v>
      </c>
    </row>
    <row r="13" spans="1:4" x14ac:dyDescent="0.25">
      <c r="A13" t="s">
        <v>8</v>
      </c>
      <c r="B13">
        <f>+_xlfn.CHISQ.DIST.RT(B7,B1-1)</f>
        <v>2.526794712838349E-14</v>
      </c>
      <c r="C13" s="1" t="s">
        <v>9</v>
      </c>
      <c r="D13">
        <f>+B3</f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2025-11-25T08:59:40Z</dcterms:created>
  <dcterms:modified xsi:type="dcterms:W3CDTF">2025-11-25T09:19:23Z</dcterms:modified>
</cp:coreProperties>
</file>