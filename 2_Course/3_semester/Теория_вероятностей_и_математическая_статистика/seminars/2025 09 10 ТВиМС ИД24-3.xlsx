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filterPrivacy="1"/>
  <xr:revisionPtr revIDLastSave="0" documentId="13_ncr:1_{8AD82D59-8287-4570-A108-D9094B7AC20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Лист2" sheetId="3" r:id="rId2"/>
  </sheets>
  <definedNames>
    <definedName name="_xlnm._FilterDatabase" localSheetId="0" hidden="1">Sheet1!$A$1:$B$59</definedName>
    <definedName name="_xlnm._FilterDatabase" localSheetId="1" hidden="1">Лист2!$A$1:$A$10</definedName>
    <definedName name="qwerty">Sheet1!$A$2:$A$59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D10" i="1"/>
  <c r="D9" i="1"/>
  <c r="D8" i="1"/>
  <c r="D7" i="1"/>
  <c r="D6" i="1"/>
  <c r="D5" i="1"/>
  <c r="D4" i="1" s="1"/>
  <c r="D3" i="1"/>
  <c r="D1" i="1"/>
  <c r="E4" i="1"/>
  <c r="E5" i="1"/>
  <c r="E8" i="1"/>
  <c r="E10" i="1"/>
  <c r="E6" i="1"/>
  <c r="E9" i="1"/>
  <c r="E7" i="1"/>
  <c r="E3" i="1"/>
  <c r="E1" i="1"/>
</calcChain>
</file>

<file path=xl/sharedStrings.xml><?xml version="1.0" encoding="utf-8"?>
<sst xmlns="http://schemas.openxmlformats.org/spreadsheetml/2006/main" count="34" uniqueCount="21">
  <si>
    <t>qwerty</t>
  </si>
  <si>
    <t>Среднее значение</t>
  </si>
  <si>
    <t>Стандартная ошибка</t>
  </si>
  <si>
    <t>Медиана</t>
  </si>
  <si>
    <t>Стандартное отклонение (несмещенное)</t>
  </si>
  <si>
    <t>Дисперсия выборки (несмещенная)</t>
  </si>
  <si>
    <t>Эксцесс (несмещенная оценка)</t>
  </si>
  <si>
    <t>Асимметричность (несмещенная оценка)</t>
  </si>
  <si>
    <t>Интервал</t>
  </si>
  <si>
    <t>Максимальное значение</t>
  </si>
  <si>
    <t>Объем выборки</t>
  </si>
  <si>
    <t>Столбец1</t>
  </si>
  <si>
    <t>Среднее</t>
  </si>
  <si>
    <t>Стандартное отклонение</t>
  </si>
  <si>
    <t>Дисперсия выборки</t>
  </si>
  <si>
    <t>Эксцесс</t>
  </si>
  <si>
    <t>Асимметричность</t>
  </si>
  <si>
    <t>Минимум</t>
  </si>
  <si>
    <t>Максимум</t>
  </si>
  <si>
    <t>Сумма</t>
  </si>
  <si>
    <t>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</si>
</sst>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zoomScale="160" zoomScaleNormal="160" workbookViewId="0">
      <selection activeCell="H16" sqref="H16"/>
    </sheetView>
  </sheetViews>
  <sheetFormatPr defaultRowHeight="15" x14ac:dyDescent="0.25"/>
  <cols>
    <col min="1" max="1" width="10.5703125" bestFit="1" customWidth="1"/>
    <col min="3" max="3" width="40" bestFit="1" customWidth="1"/>
    <col min="5" max="5" width="29.42578125" bestFit="1" customWidth="1"/>
    <col min="7" max="7" width="24.5703125" bestFit="1" customWidth="1"/>
    <col min="8" max="8" width="13.28515625" bestFit="1" customWidth="1"/>
  </cols>
  <sheetData>
    <row r="1" spans="1:8" x14ac:dyDescent="0.25">
      <c r="A1" t="s">
        <v>0</v>
      </c>
      <c r="C1" t="s">
        <v>1</v>
      </c>
      <c r="D1">
        <f>+AVERAGE(qwerty)</f>
        <v>1.6313311724137933</v>
      </c>
      <c r="E1" t="str">
        <f ca="1">+_xlfn.FORMULATEXT(D1)</f>
        <v>=+СРЗНАЧ(qwerty)</v>
      </c>
      <c r="G1" s="3" t="s">
        <v>11</v>
      </c>
      <c r="H1" s="3"/>
    </row>
    <row r="2" spans="1:8" x14ac:dyDescent="0.25">
      <c r="A2">
        <v>7.2319709999999997</v>
      </c>
      <c r="C2" t="s">
        <v>2</v>
      </c>
      <c r="G2" s="1"/>
      <c r="H2" s="1"/>
    </row>
    <row r="3" spans="1:8" x14ac:dyDescent="0.25">
      <c r="A3">
        <v>3.3795500000000001</v>
      </c>
      <c r="C3" t="s">
        <v>3</v>
      </c>
      <c r="D3">
        <f>+MEDIAN(qwerty)</f>
        <v>1.6692070000000001</v>
      </c>
      <c r="E3" t="str">
        <f ca="1">+_xlfn.FORMULATEXT(D3)</f>
        <v>=+МЕДИАНА(qwerty)</v>
      </c>
      <c r="F3">
        <f>+_xlfn.QUARTILE.INC(qwerty,2)</f>
        <v>1.6692070000000001</v>
      </c>
      <c r="G3" s="1" t="s">
        <v>12</v>
      </c>
      <c r="H3" s="1">
        <v>1.6313311724137933</v>
      </c>
    </row>
    <row r="4" spans="1:8" x14ac:dyDescent="0.25">
      <c r="A4">
        <v>11.327438000000001</v>
      </c>
      <c r="C4" t="s">
        <v>4</v>
      </c>
      <c r="D4">
        <f>+D5^0.5</f>
        <v>4.0631367873777418</v>
      </c>
      <c r="E4" t="str">
        <f t="shared" ref="E4:E10" ca="1" si="0">+_xlfn.FORMULATEXT(D4)</f>
        <v>=+D5^0,5</v>
      </c>
      <c r="G4" s="1" t="s">
        <v>2</v>
      </c>
      <c r="H4" s="1">
        <v>0.53351599777168424</v>
      </c>
    </row>
    <row r="5" spans="1:8" x14ac:dyDescent="0.25">
      <c r="A5">
        <v>6.0683949999999998</v>
      </c>
      <c r="C5" t="s">
        <v>5</v>
      </c>
      <c r="D5">
        <f>+_xlfn.VAR.S(qwerty)</f>
        <v>16.509080552942319</v>
      </c>
      <c r="E5" t="str">
        <f t="shared" ca="1" si="0"/>
        <v>=+ДИСП.В(qwerty)</v>
      </c>
      <c r="G5" s="1" t="s">
        <v>3</v>
      </c>
      <c r="H5" s="1">
        <v>1.6692070000000001</v>
      </c>
    </row>
    <row r="6" spans="1:8" x14ac:dyDescent="0.25">
      <c r="A6">
        <v>5.6570130000000001</v>
      </c>
      <c r="C6" t="s">
        <v>6</v>
      </c>
      <c r="D6">
        <f>+KURT(qwerty)</f>
        <v>-0.43649937277205719</v>
      </c>
      <c r="E6" t="str">
        <f t="shared" ca="1" si="0"/>
        <v>=+ЭКСЦЕСС(qwerty)</v>
      </c>
      <c r="G6" s="1" t="s">
        <v>13</v>
      </c>
      <c r="H6" s="1">
        <v>4.0631367873777418</v>
      </c>
    </row>
    <row r="7" spans="1:8" x14ac:dyDescent="0.25">
      <c r="A7">
        <v>-1.3210839999999999</v>
      </c>
      <c r="C7" t="s">
        <v>7</v>
      </c>
      <c r="D7">
        <f>+SKEW(qwerty)</f>
        <v>1.322945082840964E-4</v>
      </c>
      <c r="E7" t="str">
        <f t="shared" ca="1" si="0"/>
        <v>=+СКОС(qwerty)</v>
      </c>
      <c r="G7" s="1" t="s">
        <v>14</v>
      </c>
      <c r="H7" s="1">
        <v>16.509080552942319</v>
      </c>
    </row>
    <row r="8" spans="1:8" x14ac:dyDescent="0.25">
      <c r="A8">
        <v>3.3340550000000002</v>
      </c>
      <c r="C8" t="s">
        <v>8</v>
      </c>
      <c r="D8">
        <f>+MAX(qwerty)-MIN(qwerty)</f>
        <v>18.497942000000002</v>
      </c>
      <c r="E8" t="str">
        <f t="shared" ca="1" si="0"/>
        <v>=+МАКС(qwerty)-МИН(qwerty)</v>
      </c>
      <c r="G8" s="1" t="s">
        <v>15</v>
      </c>
      <c r="H8" s="1">
        <v>-0.43649937277205719</v>
      </c>
    </row>
    <row r="9" spans="1:8" x14ac:dyDescent="0.25">
      <c r="A9">
        <v>8.3595210000000009</v>
      </c>
      <c r="C9" t="s">
        <v>9</v>
      </c>
      <c r="D9">
        <f>+MAX(qwerty)</f>
        <v>11.327438000000001</v>
      </c>
      <c r="E9" t="str">
        <f t="shared" ca="1" si="0"/>
        <v>=+МАКС(qwerty)</v>
      </c>
      <c r="G9" s="1" t="s">
        <v>16</v>
      </c>
      <c r="H9" s="1">
        <v>1.322945082840964E-4</v>
      </c>
    </row>
    <row r="10" spans="1:8" x14ac:dyDescent="0.25">
      <c r="A10">
        <v>2.6616520000000001</v>
      </c>
      <c r="C10" t="s">
        <v>10</v>
      </c>
      <c r="D10">
        <f>+COUNT(qwerty)</f>
        <v>58</v>
      </c>
      <c r="E10" t="str">
        <f t="shared" ca="1" si="0"/>
        <v>=+СЧЁТ(qwerty)</v>
      </c>
      <c r="G10" s="1" t="s">
        <v>8</v>
      </c>
      <c r="H10" s="1">
        <v>18.497942000000002</v>
      </c>
    </row>
    <row r="11" spans="1:8" x14ac:dyDescent="0.25">
      <c r="A11">
        <v>6.1891150000000001</v>
      </c>
      <c r="G11" s="1" t="s">
        <v>17</v>
      </c>
      <c r="H11" s="1">
        <v>-7.1705040000000002</v>
      </c>
    </row>
    <row r="12" spans="1:8" x14ac:dyDescent="0.25">
      <c r="A12">
        <v>-5.5832009999999999</v>
      </c>
      <c r="G12" s="1" t="s">
        <v>18</v>
      </c>
      <c r="H12" s="1">
        <v>11.327438000000001</v>
      </c>
    </row>
    <row r="13" spans="1:8" x14ac:dyDescent="0.25">
      <c r="A13">
        <v>-1.978818</v>
      </c>
      <c r="G13" s="1" t="s">
        <v>19</v>
      </c>
      <c r="H13" s="1">
        <v>94.617208000000019</v>
      </c>
    </row>
    <row r="14" spans="1:8" ht="15.75" thickBot="1" x14ac:dyDescent="0.3">
      <c r="A14">
        <v>1.39967</v>
      </c>
      <c r="G14" s="2" t="s">
        <v>20</v>
      </c>
      <c r="H14" s="2">
        <v>58</v>
      </c>
    </row>
    <row r="15" spans="1:8" x14ac:dyDescent="0.25">
      <c r="A15">
        <v>-3.2201770000000001</v>
      </c>
    </row>
    <row r="16" spans="1:8" x14ac:dyDescent="0.25">
      <c r="A16">
        <v>3.240224</v>
      </c>
    </row>
    <row r="17" spans="1:1" x14ac:dyDescent="0.25">
      <c r="A17">
        <v>2.653743</v>
      </c>
    </row>
    <row r="18" spans="1:1" x14ac:dyDescent="0.25">
      <c r="A18">
        <v>5.7962870000000004</v>
      </c>
    </row>
    <row r="19" spans="1:1" x14ac:dyDescent="0.25">
      <c r="A19">
        <v>-4.1075489999999997</v>
      </c>
    </row>
    <row r="20" spans="1:1" x14ac:dyDescent="0.25">
      <c r="A20">
        <v>3.9115009999999999</v>
      </c>
    </row>
    <row r="21" spans="1:1" x14ac:dyDescent="0.25">
      <c r="A21">
        <v>1.21197</v>
      </c>
    </row>
    <row r="22" spans="1:1" x14ac:dyDescent="0.25">
      <c r="A22">
        <v>-2.1412330000000002</v>
      </c>
    </row>
    <row r="23" spans="1:1" x14ac:dyDescent="0.25">
      <c r="A23">
        <v>1.1521060000000001</v>
      </c>
    </row>
    <row r="24" spans="1:1" x14ac:dyDescent="0.25">
      <c r="A24">
        <v>1.181843</v>
      </c>
    </row>
    <row r="25" spans="1:1" x14ac:dyDescent="0.25">
      <c r="A25">
        <v>3.7112989999999999</v>
      </c>
    </row>
    <row r="26" spans="1:1" x14ac:dyDescent="0.25">
      <c r="A26">
        <v>-4.5723479999999999</v>
      </c>
    </row>
    <row r="27" spans="1:1" x14ac:dyDescent="0.25">
      <c r="A27">
        <v>3.3268360000000001</v>
      </c>
    </row>
    <row r="28" spans="1:1" x14ac:dyDescent="0.25">
      <c r="A28">
        <v>-7.1705040000000002</v>
      </c>
    </row>
    <row r="29" spans="1:1" x14ac:dyDescent="0.25">
      <c r="A29">
        <v>-1.965784</v>
      </c>
    </row>
    <row r="30" spans="1:1" x14ac:dyDescent="0.25">
      <c r="A30">
        <v>3.7040790000000001</v>
      </c>
    </row>
    <row r="31" spans="1:1" x14ac:dyDescent="0.25">
      <c r="A31">
        <v>-4.1357780000000002</v>
      </c>
    </row>
    <row r="32" spans="1:1" x14ac:dyDescent="0.25">
      <c r="A32">
        <v>-0.566577</v>
      </c>
    </row>
    <row r="33" spans="1:1" x14ac:dyDescent="0.25">
      <c r="A33">
        <v>1.42438</v>
      </c>
    </row>
    <row r="34" spans="1:1" x14ac:dyDescent="0.25">
      <c r="A34">
        <v>5.2792680000000001</v>
      </c>
    </row>
    <row r="35" spans="1:1" x14ac:dyDescent="0.25">
      <c r="A35">
        <v>-3.5766800000000001</v>
      </c>
    </row>
    <row r="36" spans="1:1" x14ac:dyDescent="0.25">
      <c r="A36">
        <v>3.5000640000000001</v>
      </c>
    </row>
    <row r="37" spans="1:1" x14ac:dyDescent="0.25">
      <c r="A37">
        <v>-0.23461399999999999</v>
      </c>
    </row>
    <row r="38" spans="1:1" x14ac:dyDescent="0.25">
      <c r="A38">
        <v>6.0949710000000001</v>
      </c>
    </row>
    <row r="39" spans="1:1" x14ac:dyDescent="0.25">
      <c r="A39">
        <v>5.3608779999999996</v>
      </c>
    </row>
    <row r="40" spans="1:1" x14ac:dyDescent="0.25">
      <c r="A40">
        <v>8.4422999999999998E-2</v>
      </c>
    </row>
    <row r="41" spans="1:1" x14ac:dyDescent="0.25">
      <c r="A41">
        <v>-0.73618399999999995</v>
      </c>
    </row>
    <row r="42" spans="1:1" x14ac:dyDescent="0.25">
      <c r="A42">
        <v>2.0804819999999999</v>
      </c>
    </row>
    <row r="43" spans="1:1" x14ac:dyDescent="0.25">
      <c r="A43">
        <v>6.6516000000000006E-2</v>
      </c>
    </row>
    <row r="44" spans="1:1" x14ac:dyDescent="0.25">
      <c r="A44">
        <v>5.1213680000000004</v>
      </c>
    </row>
    <row r="45" spans="1:1" x14ac:dyDescent="0.25">
      <c r="A45">
        <v>-3.1835249999999999</v>
      </c>
    </row>
    <row r="46" spans="1:1" x14ac:dyDescent="0.25">
      <c r="A46">
        <v>9.55884</v>
      </c>
    </row>
    <row r="47" spans="1:1" x14ac:dyDescent="0.25">
      <c r="A47">
        <v>-5.4349509999999999</v>
      </c>
    </row>
    <row r="48" spans="1:1" x14ac:dyDescent="0.25">
      <c r="A48">
        <v>5.7391699999999997</v>
      </c>
    </row>
    <row r="49" spans="1:1" x14ac:dyDescent="0.25">
      <c r="A49">
        <v>1.914034</v>
      </c>
    </row>
    <row r="50" spans="1:1" x14ac:dyDescent="0.25">
      <c r="A50">
        <v>0.452121</v>
      </c>
    </row>
    <row r="51" spans="1:1" x14ac:dyDescent="0.25">
      <c r="A51">
        <v>0.51176999999999995</v>
      </c>
    </row>
    <row r="52" spans="1:1" x14ac:dyDescent="0.25">
      <c r="A52">
        <v>3.2348539999999999</v>
      </c>
    </row>
    <row r="53" spans="1:1" x14ac:dyDescent="0.25">
      <c r="A53">
        <v>7.6263319999999997</v>
      </c>
    </row>
    <row r="54" spans="1:1" x14ac:dyDescent="0.25">
      <c r="A54">
        <v>0.42038199999999998</v>
      </c>
    </row>
    <row r="55" spans="1:1" x14ac:dyDescent="0.25">
      <c r="A55">
        <v>2.935092</v>
      </c>
    </row>
    <row r="56" spans="1:1" x14ac:dyDescent="0.25">
      <c r="A56">
        <v>-3.1873909999999999</v>
      </c>
    </row>
    <row r="57" spans="1:1" x14ac:dyDescent="0.25">
      <c r="A57">
        <v>-2.3480020000000001</v>
      </c>
    </row>
    <row r="58" spans="1:1" x14ac:dyDescent="0.25">
      <c r="A58">
        <v>-1.2786249999999999</v>
      </c>
    </row>
    <row r="59" spans="1:1" x14ac:dyDescent="0.25">
      <c r="A59">
        <v>4.45702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67D-E3AC-4627-BBA5-651BD0F01098}">
  <dimension ref="A1:A10"/>
  <sheetViews>
    <sheetView zoomScale="160" zoomScaleNormal="160" workbookViewId="0">
      <selection sqref="A1:A10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Sheet1</vt:lpstr>
      <vt:lpstr>Лист2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2025-09-10T14:17:38Z</dcterms:modified>
</cp:coreProperties>
</file>